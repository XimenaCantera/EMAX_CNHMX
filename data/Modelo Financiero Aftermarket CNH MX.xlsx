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Financiero Aftermarket C" sheetId="1" r:id="rId5"/>
  </sheets>
  <definedNames/>
  <calcPr/>
</workbook>
</file>

<file path=xl/sharedStrings.xml><?xml version="1.0" encoding="utf-8"?>
<sst xmlns="http://schemas.openxmlformats.org/spreadsheetml/2006/main" count="38" uniqueCount="38">
  <si>
    <t>CNH MX - Modelo Financiero Aftermarket (Horizonte 9 Meses)</t>
  </si>
  <si>
    <t>Concepto</t>
  </si>
  <si>
    <t>Escenario Mínimo (Conservador)</t>
  </si>
  <si>
    <t>Escenario Máximo (Optimista)</t>
  </si>
  <si>
    <t>Notas / Estructura</t>
  </si>
  <si>
    <t>Ingresos por recuperación de servicios fugados (I-01)</t>
  </si>
  <si>
    <t>Basado en campaña de lealtad y conversión</t>
  </si>
  <si>
    <t>Ahorro en garantía + servicios preventivos (I-02)</t>
  </si>
  <si>
    <t>Mitigación de fallas catastróficas</t>
  </si>
  <si>
    <t>Ingresos por campaña Pareto (I-03)</t>
  </si>
  <si>
    <t>Estrategia comercial en el Top 200 de oportunidad</t>
  </si>
  <si>
    <t>Total de impacto en 9 meses</t>
  </si>
  <si>
    <t>Suma automática de beneficios</t>
  </si>
  <si>
    <t>Inversión Inicial Estimada</t>
  </si>
  <si>
    <t>CAPEX/OPEX (Para el escenario conservador se usa el costo máximo)</t>
  </si>
  <si>
    <t>Retorno de Inversión (ROI)</t>
  </si>
  <si>
    <t>Fórmula: (Impacto Total - Inversión) / Inversión</t>
  </si>
  <si>
    <t>ID</t>
  </si>
  <si>
    <t>Foco del Insight</t>
  </si>
  <si>
    <t>Datos Base del Modelo</t>
  </si>
  <si>
    <t>Hipótesis Comercial</t>
  </si>
  <si>
    <t>Fórmula de Cálculo</t>
  </si>
  <si>
    <t>Precio / Ticket Implícito</t>
  </si>
  <si>
    <t>I-01</t>
  </si>
  <si>
    <t>Fuga Silenciosa de Servicios</t>
  </si>
  <si>
    <t>18,279 registros en estatus Pendiente/CerradaFuera.</t>
  </si>
  <si>
    <t>Recuperar el 18% de los clientes en fuga mediante la campaña de lealtad.</t>
  </si>
  <si>
    <t>$3,768 MXN por cada servicio preventivo básico recuperado.</t>
  </si>
  <si>
    <t>I-02</t>
  </si>
  <si>
    <t>Concentración del Riesgo</t>
  </si>
  <si>
    <t>100 unidades críticas identificadas por k-means.</t>
  </si>
  <si>
    <t>Tasa de adopción de contratos predictivos MAYOR A 30%</t>
  </si>
  <si>
    <t>$173,333 MXN anuales por póliza premium por máquina.</t>
  </si>
  <si>
    <t>I-03</t>
  </si>
  <si>
    <t>Pareto de Monetización</t>
  </si>
  <si>
    <t>214,000 horas de retraso acumuladas en mantenimiento.</t>
  </si>
  <si>
    <t>Tasa de conversión comercial del 12% en el escenario mínimo.</t>
  </si>
  <si>
    <t xml:space="preserve"> $720 MXN por cada hora de retraso operativa reactivada.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</si>
</sst>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1" numFmtId="2" xfId="0" applyAlignment="1" applyBorder="1" applyFont="1" applyNumberFormat="1">
      <alignment horizontal="right"/>
    </xf>
    <xf borderId="1" fillId="0" fontId="1" numFmtId="49" xfId="0" applyAlignment="1" applyBorder="1" applyFont="1" applyNumberFormat="1">
      <alignment horizontal="right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Escenario Mínimo (Conservador) y Escenario Máximo (Optimista)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'Modelo Financiero Aftermarket C'!$B$3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'Modelo Financiero Aftermarket C'!$B$4:$B$6</c:f>
              <c:numCache/>
            </c:numRef>
          </c:val>
        </c:ser>
        <c:ser>
          <c:idx val="1"/>
          <c:order val="1"/>
          <c:tx>
            <c:strRef>
              <c:f>'Modelo Financiero Aftermarket C'!$C$3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'Modelo Financiero Aftermarket C'!$C$4:$C$6</c:f>
              <c:numCache/>
            </c:numRef>
          </c:val>
        </c:ser>
        <c:axId val="2044412274"/>
        <c:axId val="657728331"/>
      </c:barChart>
      <c:catAx>
        <c:axId val="2044412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728331"/>
      </c:catAx>
      <c:valAx>
        <c:axId val="657728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412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Retorno de Inversión (ROI) contra Inversión Inicial Estimada Escenario Mínimo y Máximo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'Modelo Financiero Aftermarket C'!$A$10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'Modelo Financiero Aftermarket C'!$B$9:$C$9</c:f>
            </c:strRef>
          </c:cat>
          <c:val>
            <c:numRef>
              <c:f>'Modelo Financiero Aftermarket C'!$B$10:$C$10</c:f>
              <c:numCache/>
            </c:numRef>
          </c:val>
        </c:ser>
        <c:axId val="152314747"/>
        <c:axId val="899654747"/>
      </c:bar3DChart>
      <c:catAx>
        <c:axId val="152314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Inversión Inicial Estimada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654747"/>
      </c:catAx>
      <c:valAx>
        <c:axId val="899654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Retorno de Inversión (ROI)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14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19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2028825</xdr:colOff>
      <xdr:row>20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32.25"/>
    <col customWidth="1" min="3" max="3" width="27.63"/>
    <col customWidth="1" min="4" max="4" width="55.13"/>
    <col customWidth="1" min="5" max="5" width="46.75"/>
    <col customWidth="1" min="6" max="6" width="57.0"/>
    <col customWidth="1" min="7" max="7" width="47.75"/>
    <col customWidth="1" min="8" max="8" width="52.63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s="1" t="s">
        <v>5</v>
      </c>
      <c r="B4" s="2">
        <v>1.24E7</v>
      </c>
      <c r="C4" s="2">
        <v>1.65E7</v>
      </c>
      <c r="D4" s="1" t="s">
        <v>6</v>
      </c>
    </row>
    <row r="5">
      <c r="A5" s="1" t="s">
        <v>7</v>
      </c>
      <c r="B5" s="2">
        <v>1.3E7</v>
      </c>
      <c r="C5" s="2">
        <v>1.4E7</v>
      </c>
      <c r="D5" s="1" t="s">
        <v>8</v>
      </c>
    </row>
    <row r="6">
      <c r="A6" s="1" t="s">
        <v>9</v>
      </c>
      <c r="B6" s="2">
        <v>1.85E7</v>
      </c>
      <c r="C6" s="2">
        <v>2.78E7</v>
      </c>
      <c r="D6" s="1" t="s">
        <v>10</v>
      </c>
    </row>
    <row r="7">
      <c r="A7" s="1" t="s">
        <v>11</v>
      </c>
      <c r="B7" s="3">
        <f t="shared" ref="B7:C7" si="1">SUM(B4:B6)</f>
        <v>43900000</v>
      </c>
      <c r="C7" s="3">
        <f t="shared" si="1"/>
        <v>58300000</v>
      </c>
      <c r="D7" s="1" t="s">
        <v>12</v>
      </c>
    </row>
    <row r="9">
      <c r="A9" s="1" t="s">
        <v>13</v>
      </c>
      <c r="B9" s="2">
        <v>3500000.0</v>
      </c>
      <c r="C9" s="2">
        <v>2500000.0</v>
      </c>
      <c r="D9" s="1" t="s">
        <v>14</v>
      </c>
    </row>
    <row r="10">
      <c r="A10" s="1" t="s">
        <v>15</v>
      </c>
      <c r="B10" s="4">
        <f t="shared" ref="B10:C10" si="2">(B7-B9)/B9</f>
        <v>11.54285714</v>
      </c>
      <c r="C10" s="5">
        <f t="shared" si="2"/>
        <v>22.32</v>
      </c>
      <c r="D10" s="1" t="s">
        <v>16</v>
      </c>
    </row>
    <row r="14"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  <c r="H14" s="6" t="s">
        <v>22</v>
      </c>
    </row>
    <row r="15">
      <c r="C15" s="7" t="s">
        <v>23</v>
      </c>
      <c r="D15" s="7" t="s">
        <v>24</v>
      </c>
      <c r="E15" s="6" t="s">
        <v>25</v>
      </c>
      <c r="F15" s="6" t="s">
        <v>26</v>
      </c>
      <c r="G15" s="8">
        <f>B4/(18279*18%)</f>
        <v>3768.744947</v>
      </c>
      <c r="H15" s="7" t="s">
        <v>27</v>
      </c>
    </row>
    <row r="16">
      <c r="C16" s="7" t="s">
        <v>28</v>
      </c>
      <c r="D16" s="7" t="s">
        <v>29</v>
      </c>
      <c r="E16" s="6" t="s">
        <v>30</v>
      </c>
      <c r="F16" s="6" t="s">
        <v>31</v>
      </c>
      <c r="G16" s="8">
        <f>5200000/(100*30%)</f>
        <v>173333.3333</v>
      </c>
      <c r="H16" s="7" t="s">
        <v>32</v>
      </c>
    </row>
    <row r="17">
      <c r="C17" s="7" t="s">
        <v>33</v>
      </c>
      <c r="D17" s="7" t="s">
        <v>34</v>
      </c>
      <c r="E17" s="6" t="s">
        <v>35</v>
      </c>
      <c r="F17" s="6" t="s">
        <v>36</v>
      </c>
      <c r="G17" s="8">
        <f>B6/(214000*12%)</f>
        <v>720.4049844</v>
      </c>
      <c r="H17" s="7" t="s">
        <v>37</v>
      </c>
    </row>
  </sheetData>
  <drawing r:id="rId1"/>
</worksheet>
</file>